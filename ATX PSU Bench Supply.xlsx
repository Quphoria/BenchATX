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T_SAMUEL\Documents\KiCad\7.0\projects\ATX PSU Bench Supply\"/>
    </mc:Choice>
  </mc:AlternateContent>
  <xr:revisionPtr revIDLastSave="0" documentId="13_ncr:1_{352B74CC-6653-43C0-B91C-B6A457E8D417}" xr6:coauthVersionLast="47" xr6:coauthVersionMax="47" xr10:uidLastSave="{00000000-0000-0000-0000-000000000000}"/>
  <bookViews>
    <workbookView xWindow="-120" yWindow="-120" windowWidth="29040" windowHeight="15840" xr2:uid="{A80751B4-A150-4C26-A609-D086283032E0}"/>
  </bookViews>
  <sheets>
    <sheet name="ATX PSU Bench Supp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10" i="1"/>
  <c r="P13" i="1"/>
  <c r="Q13" i="1"/>
  <c r="P14" i="1"/>
  <c r="Q14" i="1"/>
  <c r="Q11" i="1"/>
  <c r="Q15" i="1"/>
  <c r="Q16" i="1"/>
  <c r="Q22" i="1"/>
  <c r="Q23" i="1"/>
  <c r="Q24" i="1"/>
  <c r="Q25" i="1"/>
  <c r="Q26" i="1"/>
  <c r="Q27" i="1"/>
  <c r="Q28" i="1"/>
  <c r="Q31" i="1"/>
  <c r="Q32" i="1"/>
  <c r="Q10" i="1"/>
  <c r="P11" i="1"/>
  <c r="P15" i="1"/>
  <c r="P16" i="1"/>
  <c r="P22" i="1"/>
  <c r="P23" i="1"/>
  <c r="P24" i="1"/>
  <c r="P25" i="1"/>
  <c r="P26" i="1"/>
  <c r="P27" i="1"/>
  <c r="P28" i="1"/>
  <c r="P31" i="1"/>
  <c r="P32" i="1"/>
  <c r="P10" i="1"/>
</calcChain>
</file>

<file path=xl/sharedStrings.xml><?xml version="1.0" encoding="utf-8"?>
<sst xmlns="http://schemas.openxmlformats.org/spreadsheetml/2006/main" count="159" uniqueCount="126">
  <si>
    <t>Source:</t>
  </si>
  <si>
    <t>C:\Users\TNT_SAMUEL\Documents\KiCad\7.0\projects\ATX PSU Bench Supply\ATX PSU Bench Supply.kicad_sch</t>
  </si>
  <si>
    <t>Date:</t>
  </si>
  <si>
    <t>Tool:</t>
  </si>
  <si>
    <t>Eeschema (7.0.0)</t>
  </si>
  <si>
    <t>Generator:</t>
  </si>
  <si>
    <t>F:\ProgramFiles\KiCad\7.0\bin\scripting\plugins/bom_csv_grouped_by_value.py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</si>
  <si>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</si>
  <si>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</si>
  <si>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</si>
  <si>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</si>
  <si>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</si>
  <si>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</si>
  <si>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</si>
  <si>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</si>
  <si>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</si>
  <si>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</si>
  <si>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ADDR</t>
  </si>
  <si>
    <t>Mfr. No</t>
  </si>
  <si>
    <t>Mouser No</t>
  </si>
  <si>
    <t>C1, C2, C3, C4, C5, C6, C7, C8, C9, C10, C13, C14</t>
  </si>
  <si>
    <t>0.1uF</t>
  </si>
  <si>
    <t>Device:C</t>
  </si>
  <si>
    <t>Capacitor_SMD:C_0805_2012Metric_Pad1.18x1.45mm_HandSolder</t>
  </si>
  <si>
    <t>~</t>
  </si>
  <si>
    <t>08055C104JAT2A</t>
  </si>
  <si>
    <t>581-08055C104J</t>
  </si>
  <si>
    <t>C11, C12</t>
  </si>
  <si>
    <t>1uF</t>
  </si>
  <si>
    <t>KGM21AR71C105JU</t>
  </si>
  <si>
    <t>581-KGM21AR71C105JU</t>
  </si>
  <si>
    <t>H1, H2, H3, H4</t>
  </si>
  <si>
    <t>MountingHole_Pad</t>
  </si>
  <si>
    <t>Mechanical:MountingHole_Pad</t>
  </si>
  <si>
    <t>MountingHole:MountingHole_3.2mm_M3_Pad_Via</t>
  </si>
  <si>
    <t>Connector:Conn_01x01_Socket</t>
  </si>
  <si>
    <t>LIB_973582101:973582101</t>
  </si>
  <si>
    <t>845-973582101</t>
  </si>
  <si>
    <t>J9</t>
  </si>
  <si>
    <t>Molex 39-30-1241</t>
  </si>
  <si>
    <t>Connector:ATX-24</t>
  </si>
  <si>
    <t>Connector_Molex:Molex_Mini-Fit_Jr_5569-24A2_2x12_P4.20mm_Horizontal</t>
  </si>
  <si>
    <t>https://www.intel.com/content/dam/www/public/us/en/documents/guides/power-supply-design-guide-june.pdf#page=33</t>
  </si>
  <si>
    <t>39-30-1241</t>
  </si>
  <si>
    <t>538-39-30-1241</t>
  </si>
  <si>
    <t>J10</t>
  </si>
  <si>
    <t>Molex 46991-1008</t>
  </si>
  <si>
    <t>Connector_Generic:Conn_02x04_Top_Bottom</t>
  </si>
  <si>
    <t>Connector_Molex:Molex_Mini-Fit_Jr_5569-08A2_2x04_P4.20mm_Horizontal</t>
  </si>
  <si>
    <t>46991-1008</t>
  </si>
  <si>
    <t>538-46991-1008</t>
  </si>
  <si>
    <t>J11</t>
  </si>
  <si>
    <t>OLED-128x64</t>
  </si>
  <si>
    <t>KLEEB_display:OLED-128x64</t>
  </si>
  <si>
    <t>ADDR: 0x78/0x7A</t>
  </si>
  <si>
    <t>J12, J13, J14, J15, J16, J17</t>
  </si>
  <si>
    <t>Conn_01x02</t>
  </si>
  <si>
    <t>Connector_Generic:Conn_01x02</t>
  </si>
  <si>
    <t>Connector_PinSocket_2.54mm:PinSocket_1x02_P2.54mm_Vertical</t>
  </si>
  <si>
    <t>J18</t>
  </si>
  <si>
    <t>Conn_01x08</t>
  </si>
  <si>
    <t>Connector_Generic:Conn_01x08</t>
  </si>
  <si>
    <t>Connector_PinSocket_2.54mm:PinSocket_1x08_P2.54mm_Vertical</t>
  </si>
  <si>
    <t>J19</t>
  </si>
  <si>
    <t>Conn_01x05</t>
  </si>
  <si>
    <t>Connector_Generic:Conn_01x05</t>
  </si>
  <si>
    <t>Connector_PinSocket_2.54mm:PinSocket_1x05_P2.54mm_Vertical</t>
  </si>
  <si>
    <t>J20</t>
  </si>
  <si>
    <t>Conn_01x07</t>
  </si>
  <si>
    <t>Connector_Generic:Conn_01x07</t>
  </si>
  <si>
    <t>Connector_PinSocket_2.54mm:PinSocket_1x07_P2.54mm_Vertical</t>
  </si>
  <si>
    <t>Q1</t>
  </si>
  <si>
    <t>50C02CH-TL-E</t>
  </si>
  <si>
    <t>Device:Q_NPN_BEC</t>
  </si>
  <si>
    <t>Package_TO_SOT_SMD:SOT-23_Handsoldering</t>
  </si>
  <si>
    <t>863-50C02CH-TL-E</t>
  </si>
  <si>
    <t>R1, R3, R4, R6, R7, R9, R10, R12, R13, R15</t>
  </si>
  <si>
    <t>Device:R</t>
  </si>
  <si>
    <t>Resistor_SMD:R_0805_2012Metric_Pad1.20x1.40mm_HandSolder</t>
  </si>
  <si>
    <t>CRCW080510R0FKEA</t>
  </si>
  <si>
    <t>71-CRCW0805-10-E3</t>
  </si>
  <si>
    <t>R2, R5, R8, R11, R14</t>
  </si>
  <si>
    <t>Resistor_SMD:R_2512_6332Metric_Pad1.40x3.35mm_HandSolder</t>
  </si>
  <si>
    <t>MSMA2512R0050FEN</t>
  </si>
  <si>
    <t>504-MSMA2512R0050FEN</t>
  </si>
  <si>
    <t>R16, R17, R19</t>
  </si>
  <si>
    <t>1.65k</t>
  </si>
  <si>
    <t>CRCW08051K65FKEA</t>
  </si>
  <si>
    <t>71-CRCW0805-1.65K-E3</t>
  </si>
  <si>
    <t>R18</t>
  </si>
  <si>
    <t>1k</t>
  </si>
  <si>
    <t>CRCW08051K00FKEA</t>
  </si>
  <si>
    <t>71-CRCW0805-1.0K-E3</t>
  </si>
  <si>
    <t>R20</t>
  </si>
  <si>
    <t>3.3k</t>
  </si>
  <si>
    <t>CRCW08053K30FKEA</t>
  </si>
  <si>
    <t>71-CRCW0805-3.3K-E3</t>
  </si>
  <si>
    <t>R21</t>
  </si>
  <si>
    <t>CRCW0805220KFKEA</t>
  </si>
  <si>
    <t>71-CRCW0805220KFKEA</t>
  </si>
  <si>
    <t>SW1, SW2</t>
  </si>
  <si>
    <t>SW_Push</t>
  </si>
  <si>
    <t>Switch:SW_Push</t>
  </si>
  <si>
    <t>Button_Switch_THT:SW_PUSH_6mm</t>
  </si>
  <si>
    <t>U1</t>
  </si>
  <si>
    <t>rp2040-zero</t>
  </si>
  <si>
    <t>KLEEB_mcu:rp2040-zero</t>
  </si>
  <si>
    <t>KLEEB_mcu:rp2040-zero-tht</t>
  </si>
  <si>
    <t>U2, U3, U4, U5, U6</t>
  </si>
  <si>
    <t>INA219BIDR</t>
  </si>
  <si>
    <t>Sensor_Energy:INA219BxD</t>
  </si>
  <si>
    <t>Package_SO:SOIC-8_3.9x4.9mm_P1.27mm</t>
  </si>
  <si>
    <t>http://www.ti.com/lit/ds/symlink/ina219.pdf</t>
  </si>
  <si>
    <t>595-INA219BIDR</t>
  </si>
  <si>
    <t>U7</t>
  </si>
  <si>
    <t>TLV75733PDBV</t>
  </si>
  <si>
    <t>Regulator_Linear:TLV75733PDBV</t>
  </si>
  <si>
    <t>Package_TO_SOT_SMD:SOT-23-5</t>
  </si>
  <si>
    <t>https://www.ti.com/lit/ds/symlink/tlv757p.pdf</t>
  </si>
  <si>
    <t>TLV75733PDBVR</t>
  </si>
  <si>
    <t>595-TLV75733PDBVR</t>
  </si>
  <si>
    <t>J1, J2, J4, J5, J7</t>
  </si>
  <si>
    <t>4mm Banana Socket R</t>
  </si>
  <si>
    <t>J3, J6, J8</t>
  </si>
  <si>
    <t>4mm Banana Socket B</t>
  </si>
  <si>
    <t>845-973582100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</si>
</sst>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D461-B7D6-4F3C-850A-669DBD31CA72}">
  <dimension ref="A1:T32"/>
  <sheetViews>
    <sheetView tabSelected="1" workbookViewId="0">
      <selection activeCell="X21" sqref="X21"/>
    </sheetView>
  </sheetViews>
  <sheetFormatPr defaultRowHeight="15" x14ac:dyDescent="0.25"/>
  <cols>
    <col min="20" max="20" width="37.42578125" customWidth="1"/>
  </cols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s="1">
        <v>46125.002881944441</v>
      </c>
    </row>
    <row r="3" spans="1:20" x14ac:dyDescent="0.25">
      <c r="A3" t="s">
        <v>3</v>
      </c>
      <c r="B3" t="s">
        <v>4</v>
      </c>
    </row>
    <row r="4" spans="1:20" x14ac:dyDescent="0.25">
      <c r="A4" t="s">
        <v>5</v>
      </c>
      <c r="B4" t="s">
        <v>6</v>
      </c>
    </row>
    <row r="5" spans="1:20" x14ac:dyDescent="0.25">
      <c r="A5" t="s">
        <v>7</v>
      </c>
      <c r="B5">
        <v>69</v>
      </c>
    </row>
    <row r="7" spans="1:20" x14ac:dyDescent="0.25">
      <c r="A7" t="s">
        <v>8</v>
      </c>
    </row>
    <row r="9" spans="1:20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</row>
    <row r="10" spans="1:20" x14ac:dyDescent="0.25">
      <c r="A10">
        <v>1</v>
      </c>
      <c r="B10">
        <v>12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K10" t="s">
        <v>25</v>
      </c>
      <c r="L10" t="s">
        <v>26</v>
      </c>
      <c r="O10">
        <v>15</v>
      </c>
      <c r="P10">
        <f>B10+O10</f>
        <v>27</v>
      </c>
      <c r="Q10" t="str">
        <f>L10</f>
        <v>581-08055C104J</v>
      </c>
      <c r="T10" t="str">
        <f>IF(ISBLANK(O10), "", Q10&amp;"|"&amp;P10)</f>
        <v>581-08055C104J|27</v>
      </c>
    </row>
    <row r="11" spans="1:20" x14ac:dyDescent="0.25">
      <c r="A11">
        <v>2</v>
      </c>
      <c r="B11">
        <v>2</v>
      </c>
      <c r="C11" t="s">
        <v>27</v>
      </c>
      <c r="D11" t="s">
        <v>28</v>
      </c>
      <c r="E11" t="s">
        <v>22</v>
      </c>
      <c r="F11" t="s">
        <v>23</v>
      </c>
      <c r="G11" t="s">
        <v>24</v>
      </c>
      <c r="K11" t="s">
        <v>29</v>
      </c>
      <c r="L11" t="s">
        <v>30</v>
      </c>
      <c r="O11">
        <v>8</v>
      </c>
      <c r="P11">
        <f t="shared" ref="P11:P32" si="0">B11+O11</f>
        <v>10</v>
      </c>
      <c r="Q11" t="str">
        <f t="shared" ref="Q11:Q32" si="1">L11</f>
        <v>581-KGM21AR71C105JU</v>
      </c>
      <c r="T11" t="str">
        <f t="shared" ref="T11:T32" si="2">IF(ISBLANK(O11), "", Q11&amp;"|"&amp;P11)</f>
        <v>581-KGM21AR71C105JU|10</v>
      </c>
    </row>
    <row r="12" spans="1:20" x14ac:dyDescent="0.25">
      <c r="A12">
        <v>3</v>
      </c>
      <c r="B12">
        <v>4</v>
      </c>
      <c r="C12" t="s">
        <v>31</v>
      </c>
      <c r="D12" t="s">
        <v>32</v>
      </c>
      <c r="E12" t="s">
        <v>33</v>
      </c>
      <c r="F12" t="s">
        <v>34</v>
      </c>
      <c r="G12" t="s">
        <v>24</v>
      </c>
      <c r="T12" t="str">
        <f t="shared" si="2"/>
        <v/>
      </c>
    </row>
    <row r="13" spans="1:20" x14ac:dyDescent="0.25">
      <c r="A13">
        <v>4</v>
      </c>
      <c r="B13">
        <v>5</v>
      </c>
      <c r="C13" t="s">
        <v>121</v>
      </c>
      <c r="D13" t="s">
        <v>122</v>
      </c>
      <c r="E13" t="s">
        <v>35</v>
      </c>
      <c r="F13" t="s">
        <v>36</v>
      </c>
      <c r="G13" t="s">
        <v>24</v>
      </c>
      <c r="K13">
        <v>973582101</v>
      </c>
      <c r="L13" t="s">
        <v>37</v>
      </c>
      <c r="O13">
        <v>0</v>
      </c>
      <c r="P13">
        <f t="shared" ref="P13" si="3">B13+O13</f>
        <v>5</v>
      </c>
      <c r="Q13" t="str">
        <f t="shared" ref="Q13" si="4">L13</f>
        <v>845-973582101</v>
      </c>
      <c r="T13" t="str">
        <f t="shared" si="2"/>
        <v>845-973582101|5</v>
      </c>
    </row>
    <row r="14" spans="1:20" x14ac:dyDescent="0.25">
      <c r="A14">
        <v>5</v>
      </c>
      <c r="B14">
        <v>3</v>
      </c>
      <c r="C14" t="s">
        <v>123</v>
      </c>
      <c r="D14" t="s">
        <v>124</v>
      </c>
      <c r="E14" t="s">
        <v>35</v>
      </c>
      <c r="F14" t="s">
        <v>36</v>
      </c>
      <c r="G14" t="s">
        <v>24</v>
      </c>
      <c r="K14">
        <v>973582100</v>
      </c>
      <c r="L14" t="s">
        <v>125</v>
      </c>
      <c r="O14">
        <v>0</v>
      </c>
      <c r="P14">
        <f t="shared" si="0"/>
        <v>3</v>
      </c>
      <c r="Q14" t="str">
        <f t="shared" si="1"/>
        <v>845-973582100</v>
      </c>
      <c r="T14" t="str">
        <f t="shared" si="2"/>
        <v>845-973582100|3</v>
      </c>
    </row>
    <row r="15" spans="1:20" x14ac:dyDescent="0.25">
      <c r="A15">
        <v>6</v>
      </c>
      <c r="B15">
        <v>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K15" t="s">
        <v>43</v>
      </c>
      <c r="L15" t="s">
        <v>44</v>
      </c>
      <c r="O15">
        <v>0</v>
      </c>
      <c r="P15">
        <f t="shared" si="0"/>
        <v>1</v>
      </c>
      <c r="Q15" t="str">
        <f t="shared" si="1"/>
        <v>538-39-30-1241</v>
      </c>
      <c r="T15" t="str">
        <f t="shared" si="2"/>
        <v>538-39-30-1241|1</v>
      </c>
    </row>
    <row r="16" spans="1:20" x14ac:dyDescent="0.25">
      <c r="A16">
        <v>7</v>
      </c>
      <c r="B16">
        <v>1</v>
      </c>
      <c r="C16" t="s">
        <v>45</v>
      </c>
      <c r="D16" t="s">
        <v>46</v>
      </c>
      <c r="E16" t="s">
        <v>47</v>
      </c>
      <c r="F16" t="s">
        <v>48</v>
      </c>
      <c r="G16" t="s">
        <v>24</v>
      </c>
      <c r="K16" t="s">
        <v>49</v>
      </c>
      <c r="L16" t="s">
        <v>50</v>
      </c>
      <c r="O16">
        <v>0</v>
      </c>
      <c r="P16">
        <f t="shared" si="0"/>
        <v>1</v>
      </c>
      <c r="Q16" t="str">
        <f t="shared" si="1"/>
        <v>538-46991-1008</v>
      </c>
      <c r="T16" t="str">
        <f t="shared" si="2"/>
        <v>538-46991-1008|1</v>
      </c>
    </row>
    <row r="17" spans="1:20" x14ac:dyDescent="0.25">
      <c r="A17">
        <v>8</v>
      </c>
      <c r="B17">
        <v>1</v>
      </c>
      <c r="C17" t="s">
        <v>51</v>
      </c>
      <c r="D17" t="s">
        <v>52</v>
      </c>
      <c r="E17" t="s">
        <v>53</v>
      </c>
      <c r="F17" t="s">
        <v>53</v>
      </c>
      <c r="J17" t="s">
        <v>54</v>
      </c>
      <c r="T17" t="str">
        <f t="shared" si="2"/>
        <v/>
      </c>
    </row>
    <row r="18" spans="1:20" x14ac:dyDescent="0.25">
      <c r="A18">
        <v>9</v>
      </c>
      <c r="B18">
        <v>6</v>
      </c>
      <c r="C18" t="s">
        <v>55</v>
      </c>
      <c r="D18" t="s">
        <v>56</v>
      </c>
      <c r="E18" t="s">
        <v>57</v>
      </c>
      <c r="F18" t="s">
        <v>58</v>
      </c>
      <c r="G18" t="s">
        <v>24</v>
      </c>
      <c r="T18" t="str">
        <f t="shared" si="2"/>
        <v/>
      </c>
    </row>
    <row r="19" spans="1:20" x14ac:dyDescent="0.25">
      <c r="A19">
        <v>10</v>
      </c>
      <c r="B19">
        <v>1</v>
      </c>
      <c r="C19" t="s">
        <v>59</v>
      </c>
      <c r="D19" t="s">
        <v>60</v>
      </c>
      <c r="E19" t="s">
        <v>61</v>
      </c>
      <c r="F19" t="s">
        <v>62</v>
      </c>
      <c r="G19" t="s">
        <v>24</v>
      </c>
      <c r="T19" t="str">
        <f t="shared" si="2"/>
        <v/>
      </c>
    </row>
    <row r="20" spans="1:20" x14ac:dyDescent="0.25">
      <c r="A20">
        <v>11</v>
      </c>
      <c r="B20">
        <v>1</v>
      </c>
      <c r="C20" t="s">
        <v>63</v>
      </c>
      <c r="D20" t="s">
        <v>64</v>
      </c>
      <c r="E20" t="s">
        <v>65</v>
      </c>
      <c r="F20" t="s">
        <v>66</v>
      </c>
      <c r="G20" t="s">
        <v>24</v>
      </c>
      <c r="T20" t="str">
        <f t="shared" si="2"/>
        <v/>
      </c>
    </row>
    <row r="21" spans="1:20" x14ac:dyDescent="0.25">
      <c r="A21">
        <v>12</v>
      </c>
      <c r="B21">
        <v>1</v>
      </c>
      <c r="C21" t="s">
        <v>67</v>
      </c>
      <c r="D21" t="s">
        <v>68</v>
      </c>
      <c r="E21" t="s">
        <v>69</v>
      </c>
      <c r="F21" t="s">
        <v>70</v>
      </c>
      <c r="G21" t="s">
        <v>24</v>
      </c>
      <c r="T21" t="str">
        <f t="shared" si="2"/>
        <v/>
      </c>
    </row>
    <row r="22" spans="1:20" x14ac:dyDescent="0.25">
      <c r="A22">
        <v>13</v>
      </c>
      <c r="B22">
        <v>1</v>
      </c>
      <c r="C22" t="s">
        <v>71</v>
      </c>
      <c r="D22" t="s">
        <v>72</v>
      </c>
      <c r="E22" t="s">
        <v>73</v>
      </c>
      <c r="F22" t="s">
        <v>74</v>
      </c>
      <c r="G22" t="s">
        <v>24</v>
      </c>
      <c r="K22" t="s">
        <v>72</v>
      </c>
      <c r="L22" t="s">
        <v>75</v>
      </c>
      <c r="O22">
        <v>4</v>
      </c>
      <c r="P22">
        <f t="shared" si="0"/>
        <v>5</v>
      </c>
      <c r="Q22" t="str">
        <f t="shared" si="1"/>
        <v>863-50C02CH-TL-E</v>
      </c>
      <c r="T22" t="str">
        <f t="shared" si="2"/>
        <v>863-50C02CH-TL-E|5</v>
      </c>
    </row>
    <row r="23" spans="1:20" x14ac:dyDescent="0.25">
      <c r="A23">
        <v>14</v>
      </c>
      <c r="B23">
        <v>10</v>
      </c>
      <c r="C23" t="s">
        <v>76</v>
      </c>
      <c r="D23">
        <v>10</v>
      </c>
      <c r="E23" t="s">
        <v>77</v>
      </c>
      <c r="F23" t="s">
        <v>78</v>
      </c>
      <c r="G23" t="s">
        <v>24</v>
      </c>
      <c r="K23" t="s">
        <v>79</v>
      </c>
      <c r="L23" t="s">
        <v>80</v>
      </c>
      <c r="O23">
        <v>10</v>
      </c>
      <c r="P23">
        <f t="shared" si="0"/>
        <v>20</v>
      </c>
      <c r="Q23" t="str">
        <f t="shared" si="1"/>
        <v>71-CRCW0805-10-E3</v>
      </c>
      <c r="T23" t="str">
        <f t="shared" si="2"/>
        <v>71-CRCW0805-10-E3|20</v>
      </c>
    </row>
    <row r="24" spans="1:20" x14ac:dyDescent="0.25">
      <c r="A24">
        <v>15</v>
      </c>
      <c r="B24">
        <v>5</v>
      </c>
      <c r="C24" t="s">
        <v>81</v>
      </c>
      <c r="D24">
        <v>5.0000000000000001E-3</v>
      </c>
      <c r="E24" t="s">
        <v>77</v>
      </c>
      <c r="F24" t="s">
        <v>82</v>
      </c>
      <c r="G24" t="s">
        <v>24</v>
      </c>
      <c r="K24" t="s">
        <v>83</v>
      </c>
      <c r="L24" t="s">
        <v>84</v>
      </c>
      <c r="O24">
        <v>0</v>
      </c>
      <c r="P24">
        <f t="shared" si="0"/>
        <v>5</v>
      </c>
      <c r="Q24" t="str">
        <f t="shared" si="1"/>
        <v>504-MSMA2512R0050FEN</v>
      </c>
      <c r="T24" t="str">
        <f t="shared" si="2"/>
        <v>504-MSMA2512R0050FEN|5</v>
      </c>
    </row>
    <row r="25" spans="1:20" x14ac:dyDescent="0.25">
      <c r="A25">
        <v>16</v>
      </c>
      <c r="B25">
        <v>3</v>
      </c>
      <c r="C25" t="s">
        <v>85</v>
      </c>
      <c r="D25" t="s">
        <v>86</v>
      </c>
      <c r="E25" t="s">
        <v>77</v>
      </c>
      <c r="F25" t="s">
        <v>78</v>
      </c>
      <c r="G25" t="s">
        <v>24</v>
      </c>
      <c r="K25" t="s">
        <v>87</v>
      </c>
      <c r="L25" t="s">
        <v>88</v>
      </c>
      <c r="O25">
        <v>10</v>
      </c>
      <c r="P25">
        <f t="shared" si="0"/>
        <v>13</v>
      </c>
      <c r="Q25" t="str">
        <f t="shared" si="1"/>
        <v>71-CRCW0805-1.65K-E3</v>
      </c>
      <c r="T25" t="str">
        <f t="shared" si="2"/>
        <v>71-CRCW0805-1.65K-E3|13</v>
      </c>
    </row>
    <row r="26" spans="1:20" x14ac:dyDescent="0.25">
      <c r="A26">
        <v>17</v>
      </c>
      <c r="B26">
        <v>1</v>
      </c>
      <c r="C26" t="s">
        <v>89</v>
      </c>
      <c r="D26" t="s">
        <v>90</v>
      </c>
      <c r="E26" t="s">
        <v>77</v>
      </c>
      <c r="F26" t="s">
        <v>78</v>
      </c>
      <c r="G26" t="s">
        <v>24</v>
      </c>
      <c r="K26" t="s">
        <v>91</v>
      </c>
      <c r="L26" t="s">
        <v>92</v>
      </c>
      <c r="O26">
        <v>10</v>
      </c>
      <c r="P26">
        <f t="shared" si="0"/>
        <v>11</v>
      </c>
      <c r="Q26" t="str">
        <f t="shared" si="1"/>
        <v>71-CRCW0805-1.0K-E3</v>
      </c>
      <c r="T26" t="str">
        <f t="shared" si="2"/>
        <v>71-CRCW0805-1.0K-E3|11</v>
      </c>
    </row>
    <row r="27" spans="1:20" x14ac:dyDescent="0.25">
      <c r="A27">
        <v>18</v>
      </c>
      <c r="B27">
        <v>1</v>
      </c>
      <c r="C27" t="s">
        <v>93</v>
      </c>
      <c r="D27" t="s">
        <v>94</v>
      </c>
      <c r="E27" t="s">
        <v>77</v>
      </c>
      <c r="F27" t="s">
        <v>78</v>
      </c>
      <c r="G27" t="s">
        <v>24</v>
      </c>
      <c r="K27" t="s">
        <v>95</v>
      </c>
      <c r="L27" t="s">
        <v>96</v>
      </c>
      <c r="O27">
        <v>10</v>
      </c>
      <c r="P27">
        <f t="shared" si="0"/>
        <v>11</v>
      </c>
      <c r="Q27" t="str">
        <f t="shared" si="1"/>
        <v>71-CRCW0805-3.3K-E3</v>
      </c>
      <c r="T27" t="str">
        <f t="shared" si="2"/>
        <v>71-CRCW0805-3.3K-E3|11</v>
      </c>
    </row>
    <row r="28" spans="1:20" x14ac:dyDescent="0.25">
      <c r="A28">
        <v>19</v>
      </c>
      <c r="B28">
        <v>1</v>
      </c>
      <c r="C28" t="s">
        <v>97</v>
      </c>
      <c r="D28">
        <v>220</v>
      </c>
      <c r="E28" t="s">
        <v>77</v>
      </c>
      <c r="F28" t="s">
        <v>78</v>
      </c>
      <c r="G28" t="s">
        <v>24</v>
      </c>
      <c r="K28" t="s">
        <v>98</v>
      </c>
      <c r="L28" t="s">
        <v>99</v>
      </c>
      <c r="O28">
        <v>10</v>
      </c>
      <c r="P28">
        <f t="shared" si="0"/>
        <v>11</v>
      </c>
      <c r="Q28" t="str">
        <f t="shared" si="1"/>
        <v>71-CRCW0805220KFKEA</v>
      </c>
      <c r="T28" t="str">
        <f t="shared" si="2"/>
        <v>71-CRCW0805220KFKEA|11</v>
      </c>
    </row>
    <row r="29" spans="1:20" x14ac:dyDescent="0.25">
      <c r="A29">
        <v>20</v>
      </c>
      <c r="B29">
        <v>2</v>
      </c>
      <c r="C29" t="s">
        <v>100</v>
      </c>
      <c r="D29" t="s">
        <v>101</v>
      </c>
      <c r="E29" t="s">
        <v>102</v>
      </c>
      <c r="F29" t="s">
        <v>103</v>
      </c>
      <c r="G29" t="s">
        <v>24</v>
      </c>
      <c r="T29" t="str">
        <f t="shared" si="2"/>
        <v/>
      </c>
    </row>
    <row r="30" spans="1:20" x14ac:dyDescent="0.25">
      <c r="A30">
        <v>21</v>
      </c>
      <c r="B30">
        <v>1</v>
      </c>
      <c r="C30" t="s">
        <v>104</v>
      </c>
      <c r="D30" t="s">
        <v>105</v>
      </c>
      <c r="E30" t="s">
        <v>106</v>
      </c>
      <c r="F30" t="s">
        <v>107</v>
      </c>
      <c r="T30" t="str">
        <f t="shared" si="2"/>
        <v/>
      </c>
    </row>
    <row r="31" spans="1:20" x14ac:dyDescent="0.25">
      <c r="A31">
        <v>22</v>
      </c>
      <c r="B31">
        <v>5</v>
      </c>
      <c r="C31" t="s">
        <v>108</v>
      </c>
      <c r="D31" t="s">
        <v>109</v>
      </c>
      <c r="E31" t="s">
        <v>110</v>
      </c>
      <c r="F31" t="s">
        <v>111</v>
      </c>
      <c r="G31" t="s">
        <v>112</v>
      </c>
      <c r="K31" t="s">
        <v>109</v>
      </c>
      <c r="L31" t="s">
        <v>113</v>
      </c>
      <c r="O31">
        <v>5</v>
      </c>
      <c r="P31">
        <f t="shared" si="0"/>
        <v>10</v>
      </c>
      <c r="Q31" t="str">
        <f t="shared" si="1"/>
        <v>595-INA219BIDR</v>
      </c>
      <c r="T31" t="str">
        <f t="shared" si="2"/>
        <v>595-INA219BIDR|10</v>
      </c>
    </row>
    <row r="32" spans="1:20" x14ac:dyDescent="0.25">
      <c r="A32">
        <v>23</v>
      </c>
      <c r="B32">
        <v>1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K32" t="s">
        <v>119</v>
      </c>
      <c r="L32" t="s">
        <v>120</v>
      </c>
      <c r="O32">
        <v>4</v>
      </c>
      <c r="P32">
        <f t="shared" si="0"/>
        <v>5</v>
      </c>
      <c r="Q32" t="str">
        <f t="shared" si="1"/>
        <v>595-TLV75733PDBVR</v>
      </c>
      <c r="T32" t="str">
        <f t="shared" si="2"/>
        <v>595-TLV75733PDBVR|5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 PSU Bench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Simpson</cp:lastModifiedBy>
  <dcterms:created xsi:type="dcterms:W3CDTF">2026-04-12T23:09:24Z</dcterms:created>
  <dcterms:modified xsi:type="dcterms:W3CDTF">2026-04-12T23:15:40Z</dcterms:modified>
</cp:coreProperties>
</file>